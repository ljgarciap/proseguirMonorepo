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VERDE" sheetId="1" r:id="rId4"/>
  </sheets>
  <definedNames/>
  <calcPr/>
  <extLst>
    <ext uri="GoogleSheetsCustomDataVersion2">
      <go:sheetsCustomData xmlns:go="http://customooxmlschemas.google.com/" r:id="rId5" roundtripDataChecksum="KtzLt1LiuLHDKQNoMiZLEY91P7I/gybrH8E6ANDjpR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7">
      <text>
        <t xml:space="preserve">======
ID#AAAB8DhKKoI
Calidad &amp; Comercial    (2026-05-27 22:13:25)
Ventas - Cuotas Iniciales ya pagadas</t>
      </text>
    </comment>
    <comment authorId="0" ref="D73">
      <text>
        <t xml:space="preserve">======
ID#AAAB8DhKKoE
Calidad &amp; Comercial    (2026-05-27 22:13:25)
Ventas - Cuotas Iniciales ya pagadas</t>
      </text>
    </comment>
  </commentList>
  <extLst>
    <ext uri="GoogleSheetsCustomDataVersion2">
      <go:sheetsCustomData xmlns:go="http://customooxmlschemas.google.com/" r:id="rId1" roundtripDataSignature="AMtx7mg8wdta58ZWVrm0WVDaVRfHDiYQhA=="/>
    </ext>
  </extLst>
</comments>
</file>

<file path=xl/sharedStrings.xml><?xml version="1.0" encoding="utf-8"?>
<sst xmlns="http://schemas.openxmlformats.org/spreadsheetml/2006/main" count="81" uniqueCount="78">
  <si>
    <t>ANÁLISIS CRÉDITO CONSTRUCTOR</t>
  </si>
  <si>
    <t>Código:  CR-RO-09A                                           Versión: 5                                   Fecha:  20/06/2018</t>
  </si>
  <si>
    <t>ENTRE VERDE (M+D)</t>
  </si>
  <si>
    <t>①</t>
  </si>
  <si>
    <t>VENTAS TOTALES PROYECTO</t>
  </si>
  <si>
    <t>% Sobre Ventas</t>
  </si>
  <si>
    <t>Casas</t>
  </si>
  <si>
    <t>Apartamentos</t>
  </si>
  <si>
    <t>Parqueaderos</t>
  </si>
  <si>
    <t>conexion gas/arras desist</t>
  </si>
  <si>
    <t>local comercial</t>
  </si>
  <si>
    <t>cuartos utiles</t>
  </si>
  <si>
    <t>Otros</t>
  </si>
  <si>
    <t>②</t>
  </si>
  <si>
    <t>COSTOS (Incluido Costo Financiero)</t>
  </si>
  <si>
    <t>NO ESTÁ INCLUYENDO LOS HONORARIOS EN LOS COSTOS</t>
  </si>
  <si>
    <t>Lote</t>
  </si>
  <si>
    <t>Directos</t>
  </si>
  <si>
    <t>Directos Urbanismo</t>
  </si>
  <si>
    <t>Indirectos</t>
  </si>
  <si>
    <t>Honorarios</t>
  </si>
  <si>
    <t xml:space="preserve">      * Imprevistos</t>
  </si>
  <si>
    <t xml:space="preserve">      * Incremento en costos</t>
  </si>
  <si>
    <t>Financieros</t>
  </si>
  <si>
    <t>NO ESTÁ INCLUYENDO LOS FINANCIEROS EN LOS COSTOS</t>
  </si>
  <si>
    <t>③</t>
  </si>
  <si>
    <t>INVERTIDO</t>
  </si>
  <si>
    <t>Costos Directos</t>
  </si>
  <si>
    <t>Costos Indirectos</t>
  </si>
  <si>
    <t>El valor invertido proviene de:</t>
  </si>
  <si>
    <t>Credito Constructor PSL</t>
  </si>
  <si>
    <t>Recursos propios</t>
  </si>
  <si>
    <t>Cuotas Iniciales Ya pagadas</t>
  </si>
  <si>
    <t>TOTAL</t>
  </si>
  <si>
    <t>④</t>
  </si>
  <si>
    <t>CREDITO SOLICITADO</t>
  </si>
  <si>
    <t>|</t>
  </si>
  <si>
    <t>Aptos. Vendidos</t>
  </si>
  <si>
    <t xml:space="preserve">Cuotas Iniciales Ya Pagadas </t>
  </si>
  <si>
    <t xml:space="preserve">* Cuotas Iniciales Pendientes </t>
  </si>
  <si>
    <t>⑤</t>
  </si>
  <si>
    <t>* Saldo por Recaudar Contraentrega</t>
  </si>
  <si>
    <t>Aptos X Vender</t>
  </si>
  <si>
    <t xml:space="preserve">Cuotas Iniciales </t>
  </si>
  <si>
    <t>* Cuotas Iniciales Pendientes</t>
  </si>
  <si>
    <t>⑥</t>
  </si>
  <si>
    <t>Locales  x Vender</t>
  </si>
  <si>
    <t>TOTAL PENDIENTE POR RECAUDAR</t>
  </si>
  <si>
    <t>ANALISIS DE FINANCIACIÓN</t>
  </si>
  <si>
    <t xml:space="preserve">  Costo de la Obra</t>
  </si>
  <si>
    <r>
      <rPr>
        <rFont val="Calibri"/>
        <color theme="1"/>
        <sz val="12.0"/>
      </rPr>
      <t xml:space="preserve">             </t>
    </r>
    <r>
      <rPr>
        <rFont val="Calibri"/>
        <b/>
        <color theme="1"/>
        <sz val="12.0"/>
      </rPr>
      <t>Peor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Escenario: "No Vende Más"</t>
    </r>
  </si>
  <si>
    <t>(-) Valor Invertido</t>
  </si>
  <si>
    <t xml:space="preserve">(-) Crédito </t>
  </si>
  <si>
    <t xml:space="preserve">      Saldo X Financiar</t>
  </si>
  <si>
    <t>(-) Cuotas Iniciales x Recaudar</t>
  </si>
  <si>
    <t>⑦</t>
  </si>
  <si>
    <t xml:space="preserve">     Saldo X Financiar</t>
  </si>
  <si>
    <t xml:space="preserve">(-) Cuotas iniciales Pendientes </t>
  </si>
  <si>
    <t xml:space="preserve">           Mejor Escenario: "Vende Todo"</t>
  </si>
  <si>
    <t>⑧</t>
  </si>
  <si>
    <t>Saldo No financiado</t>
  </si>
  <si>
    <t xml:space="preserve">COBERTURAS </t>
  </si>
  <si>
    <t>PEOR ESCENARIO (NO VENDE MAS)</t>
  </si>
  <si>
    <t>A)</t>
  </si>
  <si>
    <r>
      <rPr>
        <rFont val="Calibri"/>
        <b/>
        <color theme="1"/>
        <sz val="14.0"/>
      </rPr>
      <t>Crédito Inicial</t>
    </r>
    <r>
      <rPr>
        <rFont val="Calibri"/>
        <b/>
        <color theme="1"/>
        <sz val="14.0"/>
      </rPr>
      <t>④</t>
    </r>
    <r>
      <rPr>
        <rFont val="Calibri"/>
        <b/>
        <color theme="1"/>
        <sz val="14.0"/>
      </rPr>
      <t xml:space="preserve"> + Saldo x Financiar </t>
    </r>
    <r>
      <rPr>
        <rFont val="Calibri"/>
        <b/>
        <color theme="1"/>
        <sz val="14.0"/>
      </rPr>
      <t>⑦</t>
    </r>
  </si>
  <si>
    <r>
      <rPr>
        <rFont val="Calibri"/>
        <b/>
        <color theme="1"/>
        <sz val="14.0"/>
      </rPr>
      <t xml:space="preserve">Saldo por Recaudar Contraentrega </t>
    </r>
    <r>
      <rPr>
        <rFont val="Calibri"/>
        <b/>
        <color theme="1"/>
        <sz val="14.0"/>
      </rPr>
      <t>⑤</t>
    </r>
  </si>
  <si>
    <t xml:space="preserve"> MEJOR ESCENARIO (VENDE TODO)</t>
  </si>
  <si>
    <t>B)</t>
  </si>
  <si>
    <r>
      <rPr>
        <rFont val="Calibri"/>
        <b/>
        <color theme="1"/>
        <sz val="14.0"/>
      </rPr>
      <t>Crédito Inicial</t>
    </r>
    <r>
      <rPr>
        <rFont val="Calibri"/>
        <b/>
        <color theme="1"/>
        <sz val="14.0"/>
      </rPr>
      <t>④</t>
    </r>
    <r>
      <rPr>
        <rFont val="Calibri"/>
        <b/>
        <color theme="1"/>
        <sz val="14.0"/>
      </rPr>
      <t xml:space="preserve"> + Saldo No Financiado</t>
    </r>
    <r>
      <rPr>
        <rFont val="Calibri"/>
        <b/>
        <color theme="1"/>
        <sz val="14.0"/>
      </rPr>
      <t>⑧</t>
    </r>
  </si>
  <si>
    <r>
      <rPr>
        <rFont val="Calibri"/>
        <b/>
        <color theme="1"/>
        <sz val="14.0"/>
      </rPr>
      <t xml:space="preserve">Saldo por Recaudar Contraentrega </t>
    </r>
    <r>
      <rPr>
        <rFont val="Calibri"/>
        <b/>
        <color theme="1"/>
        <sz val="14.0"/>
      </rPr>
      <t>⑤ + ⑥</t>
    </r>
  </si>
  <si>
    <t>C)</t>
  </si>
  <si>
    <t>Valores Máximos</t>
  </si>
  <si>
    <t>COBERTURA DE GARANTIA</t>
  </si>
  <si>
    <t>A) 100%</t>
  </si>
  <si>
    <t>Valor del Crédito</t>
  </si>
  <si>
    <t xml:space="preserve">B) 70 % </t>
  </si>
  <si>
    <t xml:space="preserve">Valor Total en Ventas </t>
  </si>
  <si>
    <t xml:space="preserve">C) 60 %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</si>
</sst>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_(&quot;$&quot;\ * #,##0_);_(&quot;$&quot;\ * \(#,##0\);_(&quot;$&quot;\ * &quot;-&quot;??_);_(@_)"/>
    <numFmt numFmtId="166" formatCode="_(&quot;$&quot;\ * #,##0.00_);_(&quot;$&quot;\ * \(#,##0.00\);_(&quot;$&quot;\ * &quot;-&quot;??_);_(@_)"/>
    <numFmt numFmtId="167" formatCode="_-&quot;$&quot;* #,##0_-;\-&quot;$&quot;* #,##0_-;_-&quot;$&quot;* &quot;-&quot;_-;_-@"/>
  </numFmts>
  <fonts count="13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b/>
      <sz val="20.0"/>
      <color theme="1"/>
      <name val="Calibri"/>
    </font>
    <font>
      <sz val="10.0"/>
      <color theme="1"/>
      <name val="Calibri"/>
    </font>
    <font>
      <b/>
      <sz val="16.0"/>
      <color theme="1"/>
      <name val="Calibri"/>
    </font>
    <font>
      <sz val="12.0"/>
      <color theme="0"/>
      <name val="Calibri"/>
    </font>
    <font>
      <sz val="14.0"/>
      <color theme="1"/>
      <name val="Calibri"/>
    </font>
    <font>
      <sz val="14.0"/>
      <color rgb="FFFF0000"/>
      <name val="Calibri"/>
    </font>
    <font>
      <b/>
      <sz val="14.0"/>
      <color theme="1"/>
      <name val="Calibri"/>
    </font>
    <font>
      <b/>
      <sz val="12.0"/>
      <color rgb="FF17365D"/>
      <name val="Calibri"/>
    </font>
    <font>
      <b/>
      <u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</fills>
  <borders count="41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</border>
    <border>
      <left/>
      <top/>
    </border>
    <border>
      <right style="medium">
        <color rgb="FF000000"/>
      </right>
      <top/>
    </border>
    <border>
      <left/>
      <right/>
    </border>
    <border>
      <left/>
    </border>
    <border>
      <right style="medium">
        <color rgb="FF000000"/>
      </right>
    </border>
    <border>
      <left/>
      <bottom/>
    </border>
    <border>
      <right style="medium">
        <color rgb="FF000000"/>
      </right>
      <bottom/>
    </border>
    <border>
      <left/>
      <right/>
      <bottom/>
    </border>
    <border>
      <top/>
    </border>
    <border>
      <bottom/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right/>
      <top/>
    </border>
    <border>
      <right/>
    </border>
    <border>
      <right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1" numFmtId="164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3" numFmtId="0" xfId="0" applyBorder="1" applyFont="1"/>
    <xf borderId="4" fillId="2" fontId="4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2" fontId="5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1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5" fillId="2" fontId="2" numFmtId="0" xfId="0" applyAlignment="1" applyBorder="1" applyFont="1">
      <alignment vertical="center"/>
    </xf>
    <xf borderId="15" fillId="2" fontId="1" numFmtId="164" xfId="0" applyAlignment="1" applyBorder="1" applyFont="1" applyNumberFormat="1">
      <alignment horizontal="center" vertical="center"/>
    </xf>
    <xf borderId="16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8" fillId="3" fontId="6" numFmtId="0" xfId="0" applyAlignment="1" applyBorder="1" applyFill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2" fontId="1" numFmtId="0" xfId="0" applyAlignment="1" applyBorder="1" applyFont="1">
      <alignment vertical="center"/>
    </xf>
    <xf borderId="1" fillId="4" fontId="6" numFmtId="0" xfId="0" applyAlignment="1" applyBorder="1" applyFill="1" applyFont="1">
      <alignment vertical="center"/>
    </xf>
    <xf borderId="1" fillId="4" fontId="6" numFmtId="165" xfId="0" applyAlignment="1" applyBorder="1" applyFont="1" applyNumberFormat="1">
      <alignment vertical="center"/>
    </xf>
    <xf borderId="1" fillId="4" fontId="6" numFmtId="164" xfId="0" applyAlignment="1" applyBorder="1" applyFont="1" applyNumberFormat="1">
      <alignment horizontal="center" vertical="center"/>
    </xf>
    <xf borderId="21" fillId="2" fontId="7" numFmtId="165" xfId="0" applyAlignment="1" applyBorder="1" applyFont="1" applyNumberFormat="1">
      <alignment vertical="center"/>
    </xf>
    <xf borderId="1" fillId="2" fontId="8" numFmtId="0" xfId="0" applyAlignment="1" applyBorder="1" applyFont="1">
      <alignment readingOrder="0" vertical="center"/>
    </xf>
    <xf borderId="1" fillId="2" fontId="8" numFmtId="165" xfId="0" applyAlignment="1" applyBorder="1" applyFont="1" applyNumberFormat="1">
      <alignment vertical="center"/>
    </xf>
    <xf borderId="1" fillId="2" fontId="8" numFmtId="164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vertical="center"/>
    </xf>
    <xf borderId="1" fillId="2" fontId="8" numFmtId="0" xfId="0" applyAlignment="1" applyBorder="1" applyFont="1">
      <alignment vertical="center"/>
    </xf>
    <xf borderId="0" fillId="0" fontId="9" numFmtId="165" xfId="0" applyAlignment="1" applyFont="1" applyNumberFormat="1">
      <alignment vertical="center"/>
    </xf>
    <xf borderId="21" fillId="4" fontId="6" numFmtId="0" xfId="0" applyAlignment="1" applyBorder="1" applyFont="1">
      <alignment vertical="center"/>
    </xf>
    <xf borderId="1" fillId="5" fontId="1" numFmtId="0" xfId="0" applyAlignment="1" applyBorder="1" applyFill="1" applyFont="1">
      <alignment vertical="center"/>
    </xf>
    <xf borderId="1" fillId="2" fontId="1" numFmtId="166" xfId="0" applyAlignment="1" applyBorder="1" applyFont="1" applyNumberFormat="1">
      <alignment vertical="center"/>
    </xf>
    <xf borderId="21" fillId="2" fontId="1" numFmtId="9" xfId="0" applyAlignment="1" applyBorder="1" applyFont="1" applyNumberFormat="1">
      <alignment horizontal="center" vertical="center"/>
    </xf>
    <xf borderId="0" fillId="0" fontId="8" numFmtId="165" xfId="0" applyAlignment="1" applyFont="1" applyNumberFormat="1">
      <alignment vertical="center"/>
    </xf>
    <xf borderId="21" fillId="2" fontId="1" numFmtId="9" xfId="0" applyAlignment="1" applyBorder="1" applyFont="1" applyNumberFormat="1">
      <alignment vertical="center"/>
    </xf>
    <xf borderId="1" fillId="2" fontId="8" numFmtId="165" xfId="0" applyAlignment="1" applyBorder="1" applyFont="1" applyNumberFormat="1">
      <alignment horizontal="center" vertical="center"/>
    </xf>
    <xf borderId="1" fillId="2" fontId="8" numFmtId="166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shrinkToFit="0" vertical="center" wrapText="1"/>
    </xf>
    <xf borderId="0" fillId="0" fontId="10" numFmtId="164" xfId="0" applyAlignment="1" applyFont="1" applyNumberFormat="1">
      <alignment horizontal="center" vertical="center"/>
    </xf>
    <xf borderId="1" fillId="2" fontId="8" numFmtId="0" xfId="0" applyAlignment="1" applyBorder="1" applyFont="1">
      <alignment shrinkToFit="0" vertical="center" wrapText="1"/>
    </xf>
    <xf borderId="1" fillId="5" fontId="8" numFmtId="165" xfId="0" applyAlignment="1" applyBorder="1" applyFont="1" applyNumberFormat="1">
      <alignment horizontal="center" vertical="center"/>
    </xf>
    <xf borderId="21" fillId="2" fontId="1" numFmtId="165" xfId="0" applyAlignment="1" applyBorder="1" applyFont="1" applyNumberFormat="1">
      <alignment vertical="center"/>
    </xf>
    <xf borderId="1" fillId="2" fontId="10" numFmtId="165" xfId="0" applyAlignment="1" applyBorder="1" applyFont="1" applyNumberFormat="1">
      <alignment vertical="center"/>
    </xf>
    <xf borderId="21" fillId="2" fontId="1" numFmtId="164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vertical="center"/>
    </xf>
    <xf borderId="22" fillId="2" fontId="1" numFmtId="0" xfId="0" applyAlignment="1" applyBorder="1" applyFont="1">
      <alignment vertical="center"/>
    </xf>
    <xf borderId="23" fillId="2" fontId="1" numFmtId="0" xfId="0" applyAlignment="1" applyBorder="1" applyFont="1">
      <alignment vertical="center"/>
    </xf>
    <xf borderId="24" fillId="2" fontId="1" numFmtId="164" xfId="0" applyAlignment="1" applyBorder="1" applyFont="1" applyNumberFormat="1">
      <alignment horizontal="center" vertical="center"/>
    </xf>
    <xf borderId="15" fillId="2" fontId="2" numFmtId="0" xfId="0" applyAlignment="1" applyBorder="1" applyFont="1">
      <alignment horizontal="right" vertical="center"/>
    </xf>
    <xf borderId="15" fillId="2" fontId="1" numFmtId="165" xfId="0" applyAlignment="1" applyBorder="1" applyFont="1" applyNumberFormat="1">
      <alignment vertical="center"/>
    </xf>
    <xf borderId="16" fillId="2" fontId="1" numFmtId="164" xfId="0" applyAlignment="1" applyBorder="1" applyFont="1" applyNumberFormat="1">
      <alignment horizontal="center" vertical="center"/>
    </xf>
    <xf borderId="1" fillId="4" fontId="10" numFmtId="165" xfId="0" applyAlignment="1" applyBorder="1" applyFont="1" applyNumberFormat="1">
      <alignment vertical="center"/>
    </xf>
    <xf borderId="25" fillId="2" fontId="1" numFmtId="0" xfId="0" applyAlignment="1" applyBorder="1" applyFont="1">
      <alignment horizontal="left" shrinkToFit="0" vertical="top" wrapText="1"/>
    </xf>
    <xf borderId="1" fillId="2" fontId="10" numFmtId="0" xfId="0" applyAlignment="1" applyBorder="1" applyFont="1">
      <alignment horizontal="left" vertical="center"/>
    </xf>
    <xf borderId="26" fillId="2" fontId="1" numFmtId="164" xfId="0" applyAlignment="1" applyBorder="1" applyFont="1" applyNumberFormat="1">
      <alignment horizontal="left" vertical="center"/>
    </xf>
    <xf borderId="27" fillId="0" fontId="3" numFmtId="0" xfId="0" applyBorder="1" applyFont="1"/>
    <xf borderId="28" fillId="0" fontId="3" numFmtId="0" xfId="0" applyBorder="1" applyFont="1"/>
    <xf borderId="1" fillId="2" fontId="10" numFmtId="49" xfId="0" applyAlignment="1" applyBorder="1" applyFont="1" applyNumberFormat="1">
      <alignment vertical="center"/>
    </xf>
    <xf borderId="29" fillId="0" fontId="3" numFmtId="0" xfId="0" applyBorder="1" applyFont="1"/>
    <xf borderId="30" fillId="0" fontId="3" numFmtId="0" xfId="0" applyBorder="1" applyFont="1"/>
    <xf borderId="23" fillId="2" fontId="10" numFmtId="0" xfId="0" applyAlignment="1" applyBorder="1" applyFont="1">
      <alignment vertical="center"/>
    </xf>
    <xf borderId="23" fillId="2" fontId="8" numFmtId="165" xfId="0" applyAlignment="1" applyBorder="1" applyFont="1" applyNumberFormat="1">
      <alignment vertical="center"/>
    </xf>
    <xf borderId="1" fillId="2" fontId="2" numFmtId="0" xfId="0" applyAlignment="1" applyBorder="1" applyFont="1">
      <alignment horizontal="right" vertical="center"/>
    </xf>
    <xf borderId="31" fillId="0" fontId="3" numFmtId="0" xfId="0" applyBorder="1" applyFont="1"/>
    <xf borderId="32" fillId="0" fontId="3" numFmtId="0" xfId="0" applyBorder="1" applyFont="1"/>
    <xf borderId="26" fillId="2" fontId="2" numFmtId="164" xfId="0" applyAlignment="1" applyBorder="1" applyFont="1" applyNumberFormat="1">
      <alignment horizontal="center" vertical="center"/>
    </xf>
    <xf borderId="33" fillId="0" fontId="3" numFmtId="0" xfId="0" applyBorder="1" applyFont="1"/>
    <xf borderId="1" fillId="2" fontId="10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top" wrapText="1"/>
    </xf>
    <xf borderId="26" fillId="2" fontId="11" numFmtId="165" xfId="0" applyAlignment="1" applyBorder="1" applyFont="1" applyNumberFormat="1">
      <alignment horizontal="left" shrinkToFit="0" vertical="top" wrapText="1"/>
    </xf>
    <xf borderId="34" fillId="0" fontId="3" numFmtId="0" xfId="0" applyBorder="1" applyFont="1"/>
    <xf borderId="1" fillId="2" fontId="1" numFmtId="0" xfId="0" applyAlignment="1" applyBorder="1" applyFont="1">
      <alignment shrinkToFit="0" vertical="top" wrapText="1"/>
    </xf>
    <xf borderId="35" fillId="0" fontId="3" numFmtId="0" xfId="0" applyBorder="1" applyFont="1"/>
    <xf borderId="1" fillId="4" fontId="1" numFmtId="164" xfId="0" applyAlignment="1" applyBorder="1" applyFont="1" applyNumberFormat="1">
      <alignment horizontal="center" vertical="center"/>
    </xf>
    <xf borderId="21" fillId="4" fontId="1" numFmtId="0" xfId="0" applyAlignment="1" applyBorder="1" applyFont="1">
      <alignment vertical="center"/>
    </xf>
    <xf borderId="1" fillId="2" fontId="6" numFmtId="0" xfId="0" applyAlignment="1" applyBorder="1" applyFont="1">
      <alignment vertical="center"/>
    </xf>
    <xf borderId="1" fillId="2" fontId="12" numFmtId="0" xfId="0" applyAlignment="1" applyBorder="1" applyFont="1">
      <alignment horizontal="left" vertical="center"/>
    </xf>
    <xf borderId="1" fillId="2" fontId="10" numFmtId="0" xfId="0" applyAlignment="1" applyBorder="1" applyFont="1">
      <alignment horizontal="center" vertical="center"/>
    </xf>
    <xf borderId="1" fillId="2" fontId="8" numFmtId="167" xfId="0" applyAlignment="1" applyBorder="1" applyFont="1" applyNumberFormat="1">
      <alignment horizontal="center" vertical="center"/>
    </xf>
    <xf borderId="21" fillId="2" fontId="8" numFmtId="0" xfId="0" applyAlignment="1" applyBorder="1" applyFont="1">
      <alignment vertical="center"/>
    </xf>
    <xf borderId="36" fillId="2" fontId="10" numFmtId="0" xfId="0" applyAlignment="1" applyBorder="1" applyFont="1">
      <alignment horizontal="center" vertical="center"/>
    </xf>
    <xf borderId="37" fillId="0" fontId="3" numFmtId="0" xfId="0" applyBorder="1" applyFont="1"/>
    <xf borderId="21" fillId="2" fontId="10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8" fillId="2" fontId="10" numFmtId="0" xfId="0" applyAlignment="1" applyBorder="1" applyFont="1">
      <alignment horizontal="center" vertical="center"/>
    </xf>
    <xf borderId="21" fillId="2" fontId="10" numFmtId="0" xfId="0" applyAlignment="1" applyBorder="1" applyFont="1">
      <alignment horizontal="center" vertical="center"/>
    </xf>
    <xf borderId="17" fillId="2" fontId="2" numFmtId="0" xfId="0" applyAlignment="1" applyBorder="1" applyFont="1">
      <alignment vertical="center"/>
    </xf>
    <xf borderId="21" fillId="2" fontId="8" numFmtId="0" xfId="0" applyAlignment="1" applyBorder="1" applyFont="1">
      <alignment horizontal="center" vertical="center"/>
    </xf>
    <xf borderId="17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left" shrinkToFit="0" vertical="top" wrapText="1"/>
    </xf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23" fillId="2" fontId="2" numFmtId="0" xfId="0" applyAlignment="1" applyBorder="1" applyFont="1">
      <alignment horizontal="center" vertical="center"/>
    </xf>
    <xf borderId="23" fillId="2" fontId="1" numFmtId="164" xfId="0" applyAlignment="1" applyBorder="1" applyFont="1" applyNumberFormat="1">
      <alignment horizontal="center" vertical="center"/>
    </xf>
    <xf borderId="24" fillId="2" fontId="8" numFmtId="0" xfId="0" applyAlignment="1" applyBorder="1" applyFont="1">
      <alignment horizontal="center" vertical="center"/>
    </xf>
    <xf borderId="1" fillId="2" fontId="1" numFmtId="9" xfId="0" applyAlignment="1" applyBorder="1" applyFont="1" applyNumberFormat="1">
      <alignment vertical="center"/>
    </xf>
    <xf borderId="1" fillId="2" fontId="1" numFmtId="167" xfId="0" applyAlignment="1" applyBorder="1" applyFont="1" applyNumberFormat="1">
      <alignment vertical="center"/>
    </xf>
    <xf borderId="1" fillId="2" fontId="1" numFmtId="166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left" shrinkToFit="0" vertical="center" wrapText="1"/>
    </xf>
    <xf borderId="1" fillId="2" fontId="2" numFmtId="166" xfId="0" applyAlignment="1" applyBorder="1" applyFont="1" applyNumberFormat="1">
      <alignment vertical="center"/>
    </xf>
    <xf borderId="1" fillId="2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2057400</xdr:colOff>
      <xdr:row>51</xdr:row>
      <xdr:rowOff>66675</xdr:rowOff>
    </xdr:from>
    <xdr:ext cx="447675" cy="1066800"/>
    <xdr:sp>
      <xdr:nvSpPr>
        <xdr:cNvPr id="3" name="Shape 3"/>
        <xdr:cNvSpPr/>
      </xdr:nvSpPr>
      <xdr:spPr>
        <a:xfrm>
          <a:off x="5136450" y="3256125"/>
          <a:ext cx="419100" cy="104775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5400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2085975</xdr:colOff>
      <xdr:row>57</xdr:row>
      <xdr:rowOff>19050</xdr:rowOff>
    </xdr:from>
    <xdr:ext cx="390525" cy="342900"/>
    <xdr:sp>
      <xdr:nvSpPr>
        <xdr:cNvPr id="4" name="Shape 4"/>
        <xdr:cNvSpPr/>
      </xdr:nvSpPr>
      <xdr:spPr>
        <a:xfrm>
          <a:off x="5165025" y="3618075"/>
          <a:ext cx="361950" cy="32385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5400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200025</xdr:colOff>
      <xdr:row>1</xdr:row>
      <xdr:rowOff>57150</xdr:rowOff>
    </xdr:from>
    <xdr:ext cx="100965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0.29"/>
    <col customWidth="1" min="3" max="3" width="4.43"/>
    <col customWidth="1" min="4" max="4" width="45.29"/>
    <col customWidth="1" min="5" max="5" width="31.71"/>
    <col customWidth="1" min="6" max="6" width="29.71"/>
    <col customWidth="1" min="7" max="7" width="21.14"/>
    <col customWidth="1" min="8" max="8" width="54.86"/>
    <col customWidth="1" min="9" max="9" width="20.0"/>
    <col customWidth="1" min="10" max="10" width="19.71"/>
    <col customWidth="1" min="11" max="26" width="10.86"/>
  </cols>
  <sheetData>
    <row r="1" ht="9.0" customHeight="1">
      <c r="A1" s="1"/>
      <c r="B1" s="1"/>
      <c r="C1" s="1"/>
      <c r="D1" s="2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4"/>
      <c r="C2" s="5"/>
      <c r="D2" s="6" t="s">
        <v>0</v>
      </c>
      <c r="E2" s="7"/>
      <c r="F2" s="8"/>
      <c r="G2" s="9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10"/>
      <c r="C3" s="11"/>
      <c r="D3" s="12"/>
      <c r="E3" s="13"/>
      <c r="F3" s="14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6"/>
      <c r="C4" s="17"/>
      <c r="D4" s="18"/>
      <c r="E4" s="17"/>
      <c r="F4" s="19"/>
      <c r="G4" s="2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1"/>
      <c r="C5" s="1"/>
      <c r="D5" s="22" t="s">
        <v>2</v>
      </c>
      <c r="E5" s="23"/>
      <c r="F5" s="24"/>
      <c r="G5" s="2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1"/>
      <c r="C6" s="1"/>
      <c r="D6" s="2"/>
      <c r="E6" s="1"/>
      <c r="F6" s="3"/>
      <c r="G6" s="2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21"/>
      <c r="C7" s="2" t="s">
        <v>3</v>
      </c>
      <c r="D7" s="26" t="s">
        <v>4</v>
      </c>
      <c r="E7" s="27">
        <f>+E8+E9+E10+E11+E12+E13+E14</f>
        <v>32841282386</v>
      </c>
      <c r="F7" s="28" t="s">
        <v>5</v>
      </c>
      <c r="G7" s="2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1"/>
      <c r="C8" s="1"/>
      <c r="D8" s="30" t="s">
        <v>6</v>
      </c>
      <c r="E8" s="31"/>
      <c r="F8" s="32">
        <f t="shared" ref="F8:F14" si="1">E8/$E$7</f>
        <v>0</v>
      </c>
      <c r="G8" s="29"/>
      <c r="H8" s="3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1"/>
      <c r="C9" s="1"/>
      <c r="D9" s="34" t="s">
        <v>7</v>
      </c>
      <c r="E9" s="31">
        <v>3.2841282386E10</v>
      </c>
      <c r="F9" s="32">
        <f t="shared" si="1"/>
        <v>1</v>
      </c>
      <c r="G9" s="29"/>
      <c r="H9" s="3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21"/>
      <c r="C10" s="1"/>
      <c r="D10" s="34" t="s">
        <v>8</v>
      </c>
      <c r="E10" s="31"/>
      <c r="F10" s="32">
        <f t="shared" si="1"/>
        <v>0</v>
      </c>
      <c r="G10" s="2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1"/>
      <c r="C11" s="1"/>
      <c r="D11" s="34" t="s">
        <v>9</v>
      </c>
      <c r="E11" s="35"/>
      <c r="F11" s="32">
        <f t="shared" si="1"/>
        <v>0</v>
      </c>
      <c r="G11" s="2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21"/>
      <c r="C12" s="1"/>
      <c r="D12" s="34" t="s">
        <v>10</v>
      </c>
      <c r="E12" s="31"/>
      <c r="F12" s="32">
        <f t="shared" si="1"/>
        <v>0</v>
      </c>
      <c r="G12" s="2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1"/>
      <c r="C13" s="1"/>
      <c r="D13" s="34" t="s">
        <v>11</v>
      </c>
      <c r="E13" s="31"/>
      <c r="F13" s="32">
        <f t="shared" si="1"/>
        <v>0</v>
      </c>
      <c r="G13" s="2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1"/>
      <c r="C14" s="1"/>
      <c r="D14" s="30" t="s">
        <v>12</v>
      </c>
      <c r="E14" s="31"/>
      <c r="F14" s="32">
        <f t="shared" si="1"/>
        <v>0</v>
      </c>
      <c r="G14" s="2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21"/>
      <c r="C15" s="2" t="s">
        <v>13</v>
      </c>
      <c r="D15" s="26" t="s">
        <v>14</v>
      </c>
      <c r="E15" s="27">
        <f>+E16+E17+E18+E19+E22</f>
        <v>27643780361</v>
      </c>
      <c r="F15" s="28">
        <f>E15/E7</f>
        <v>0.8417387615</v>
      </c>
      <c r="G15" s="36"/>
      <c r="H15" s="37" t="s">
        <v>15</v>
      </c>
      <c r="I15" s="1"/>
      <c r="J15" s="3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21"/>
      <c r="C16" s="1"/>
      <c r="D16" s="34" t="s">
        <v>16</v>
      </c>
      <c r="E16" s="31">
        <v>5.31595214E9</v>
      </c>
      <c r="F16" s="32"/>
      <c r="G16" s="3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1"/>
      <c r="C17" s="1"/>
      <c r="D17" s="34" t="s">
        <v>17</v>
      </c>
      <c r="E17" s="31">
        <v>1.26909621E10</v>
      </c>
      <c r="F17" s="32"/>
      <c r="G17" s="39"/>
      <c r="H17" s="3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1"/>
      <c r="C18" s="1"/>
      <c r="D18" s="34" t="s">
        <v>18</v>
      </c>
      <c r="E18" s="31">
        <v>8.65E8</v>
      </c>
      <c r="F18" s="32"/>
      <c r="G18" s="39"/>
      <c r="H18" s="3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1"/>
      <c r="C19" s="1"/>
      <c r="D19" s="34" t="s">
        <v>19</v>
      </c>
      <c r="E19" s="31">
        <v>8.771866121E9</v>
      </c>
      <c r="F19" s="32"/>
      <c r="G19" s="39"/>
      <c r="H19" s="33"/>
      <c r="I19" s="3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1"/>
      <c r="C20" s="1"/>
      <c r="D20" s="34" t="s">
        <v>20</v>
      </c>
      <c r="E20" s="31">
        <v>2.495448E9</v>
      </c>
      <c r="F20" s="32"/>
      <c r="G20" s="39"/>
      <c r="H20" s="33"/>
      <c r="I20" s="3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1"/>
      <c r="C21" s="1"/>
      <c r="D21" s="1" t="s">
        <v>21</v>
      </c>
      <c r="E21" s="31"/>
      <c r="F21" s="32"/>
      <c r="G21" s="2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1"/>
      <c r="C22" s="1"/>
      <c r="D22" s="1" t="s">
        <v>22</v>
      </c>
      <c r="E22" s="31"/>
      <c r="F22" s="32"/>
      <c r="G22" s="25"/>
      <c r="H22" s="33"/>
      <c r="I22" s="33"/>
      <c r="J22" s="3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1"/>
      <c r="C23" s="1"/>
      <c r="D23" s="34" t="s">
        <v>23</v>
      </c>
      <c r="E23" s="31">
        <v>1.5966E9</v>
      </c>
      <c r="F23" s="32"/>
      <c r="G23" s="25"/>
      <c r="H23" s="37" t="s">
        <v>24</v>
      </c>
      <c r="I23" s="33"/>
      <c r="J23" s="3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21"/>
      <c r="C24" s="1"/>
      <c r="D24" s="1"/>
      <c r="E24" s="40"/>
      <c r="F24" s="3"/>
      <c r="G24" s="25"/>
      <c r="H24" s="33"/>
      <c r="I24" s="33"/>
      <c r="J24" s="3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21"/>
      <c r="C25" s="2" t="s">
        <v>25</v>
      </c>
      <c r="D25" s="26" t="s">
        <v>26</v>
      </c>
      <c r="E25" s="27">
        <f>+E26+E27+E28</f>
        <v>8386272351</v>
      </c>
      <c r="F25" s="28">
        <f>E25/E7</f>
        <v>0.2553576396</v>
      </c>
      <c r="G25" s="25"/>
      <c r="H25" s="33"/>
      <c r="I25" s="33"/>
      <c r="J25" s="3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1"/>
      <c r="C26" s="1"/>
      <c r="D26" s="34" t="s">
        <v>16</v>
      </c>
      <c r="E26" s="31">
        <v>5.31595214E9</v>
      </c>
      <c r="F26" s="32"/>
      <c r="G26" s="41"/>
      <c r="H26" s="33"/>
      <c r="I26" s="33"/>
      <c r="J26" s="3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1"/>
      <c r="C27" s="1"/>
      <c r="D27" s="34" t="s">
        <v>27</v>
      </c>
      <c r="E27" s="31">
        <v>1.410320211E9</v>
      </c>
      <c r="F27" s="32"/>
      <c r="G27" s="41"/>
      <c r="H27" s="33"/>
      <c r="I27" s="33"/>
      <c r="J27" s="3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1"/>
      <c r="C28" s="1"/>
      <c r="D28" s="34" t="s">
        <v>28</v>
      </c>
      <c r="E28" s="31">
        <v>1.66E9</v>
      </c>
      <c r="F28" s="32"/>
      <c r="G28" s="41"/>
      <c r="H28" s="33"/>
      <c r="I28" s="33"/>
      <c r="J28" s="3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1"/>
      <c r="C29" s="1"/>
      <c r="D29" s="34"/>
      <c r="E29" s="1"/>
      <c r="F29" s="32"/>
      <c r="G29" s="25"/>
      <c r="H29" s="33"/>
      <c r="I29" s="33"/>
      <c r="J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1"/>
      <c r="C30" s="1"/>
      <c r="D30" s="34" t="s">
        <v>29</v>
      </c>
      <c r="E30" s="1"/>
      <c r="F30" s="32"/>
      <c r="G30" s="25"/>
      <c r="H30" s="33"/>
      <c r="I30" s="33"/>
      <c r="J30" s="3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1"/>
      <c r="C31" s="1"/>
      <c r="D31" s="34" t="s">
        <v>30</v>
      </c>
      <c r="E31" s="31"/>
      <c r="F31" s="32"/>
      <c r="G31" s="25"/>
      <c r="H31" s="33"/>
      <c r="I31" s="33"/>
      <c r="J31" s="3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1"/>
      <c r="C32" s="1"/>
      <c r="D32" s="34" t="s">
        <v>31</v>
      </c>
      <c r="E32" s="31">
        <v>2.4165E9</v>
      </c>
      <c r="F32" s="31"/>
      <c r="G32" s="25"/>
      <c r="H32" s="33"/>
      <c r="I32" s="33"/>
      <c r="J32" s="3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1"/>
      <c r="C33" s="1"/>
      <c r="D33" s="34" t="s">
        <v>32</v>
      </c>
      <c r="E33" s="31">
        <v>3.561E9</v>
      </c>
      <c r="F33" s="42"/>
      <c r="G33" s="25"/>
      <c r="H33" s="33"/>
      <c r="I33" s="33"/>
      <c r="J33" s="3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1"/>
      <c r="C34" s="1"/>
      <c r="D34" s="34" t="s">
        <v>33</v>
      </c>
      <c r="E34" s="31">
        <f>SUM(E32:E33)</f>
        <v>5977500000</v>
      </c>
      <c r="F34" s="43"/>
      <c r="G34" s="25"/>
      <c r="H34" s="33"/>
      <c r="I34" s="33"/>
      <c r="J34" s="3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0.5" customHeight="1">
      <c r="A35" s="1"/>
      <c r="B35" s="21"/>
      <c r="C35" s="1"/>
      <c r="D35" s="1"/>
      <c r="E35" s="33"/>
      <c r="F35" s="3"/>
      <c r="G35" s="25"/>
      <c r="H35" s="33"/>
      <c r="I35" s="33"/>
      <c r="J35" s="3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1"/>
      <c r="C36" s="2" t="s">
        <v>34</v>
      </c>
      <c r="D36" s="26" t="s">
        <v>35</v>
      </c>
      <c r="E36" s="27">
        <v>8.0E9</v>
      </c>
      <c r="F36" s="28">
        <f>E36/E7</f>
        <v>0.243595847</v>
      </c>
      <c r="G36" s="25"/>
      <c r="H36" s="33"/>
      <c r="I36" s="33"/>
      <c r="J36" s="3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9.0" customHeight="1">
      <c r="A37" s="1"/>
      <c r="B37" s="21"/>
      <c r="C37" s="1"/>
      <c r="D37" s="2"/>
      <c r="E37" s="33" t="s">
        <v>36</v>
      </c>
      <c r="F37" s="3"/>
      <c r="G37" s="25"/>
      <c r="H37" s="33"/>
      <c r="I37" s="33"/>
      <c r="J37" s="3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1"/>
      <c r="C38" s="1"/>
      <c r="D38" s="44" t="s">
        <v>37</v>
      </c>
      <c r="E38" s="31">
        <v>3.2841282386E10</v>
      </c>
      <c r="F38" s="45">
        <f>E38/E7</f>
        <v>1</v>
      </c>
      <c r="G38" s="25"/>
      <c r="H38" s="33"/>
      <c r="I38" s="33"/>
      <c r="J38" s="3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1"/>
      <c r="C39" s="1"/>
      <c r="D39" s="46" t="s">
        <v>38</v>
      </c>
      <c r="E39" s="31">
        <f>+E33</f>
        <v>3561000000</v>
      </c>
      <c r="F39" s="32"/>
      <c r="G39" s="41"/>
      <c r="H39" s="33"/>
      <c r="I39" s="33"/>
      <c r="J39" s="3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1"/>
      <c r="C40" s="1"/>
      <c r="D40" s="46" t="s">
        <v>39</v>
      </c>
      <c r="E40" s="40">
        <f>E38*30%-E39</f>
        <v>6291384716</v>
      </c>
      <c r="F40" s="47">
        <v>5.799E9</v>
      </c>
      <c r="G40" s="2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1"/>
      <c r="C41" s="2" t="s">
        <v>40</v>
      </c>
      <c r="D41" s="46" t="s">
        <v>41</v>
      </c>
      <c r="E41" s="31">
        <f>E38-E39-E40</f>
        <v>22988897670</v>
      </c>
      <c r="F41" s="32"/>
      <c r="G41" s="4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1"/>
      <c r="C42" s="2"/>
      <c r="D42" s="44" t="s">
        <v>42</v>
      </c>
      <c r="E42" s="49">
        <f>E7-E38</f>
        <v>0</v>
      </c>
      <c r="F42" s="32">
        <f>E42/E7</f>
        <v>0</v>
      </c>
      <c r="G42" s="4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1"/>
      <c r="C43" s="1"/>
      <c r="D43" s="46" t="s">
        <v>43</v>
      </c>
      <c r="E43" s="40">
        <f>E42*10%</f>
        <v>0</v>
      </c>
      <c r="F43" s="32"/>
      <c r="G43" s="2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1"/>
      <c r="C44" s="1"/>
      <c r="D44" s="46" t="s">
        <v>44</v>
      </c>
      <c r="E44" s="31"/>
      <c r="F44" s="32"/>
      <c r="G44" s="2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1"/>
      <c r="C45" s="2" t="s">
        <v>45</v>
      </c>
      <c r="D45" s="46" t="s">
        <v>41</v>
      </c>
      <c r="E45" s="31">
        <f>E42-E43-E44</f>
        <v>0</v>
      </c>
      <c r="F45" s="32"/>
      <c r="G45" s="5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1"/>
      <c r="C46" s="1"/>
      <c r="D46" s="44" t="s">
        <v>46</v>
      </c>
      <c r="E46" s="49"/>
      <c r="F46" s="32"/>
      <c r="G46" s="5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1"/>
      <c r="C47" s="1"/>
      <c r="D47" s="46" t="s">
        <v>43</v>
      </c>
      <c r="E47" s="31"/>
      <c r="F47" s="32"/>
      <c r="G47" s="5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21"/>
      <c r="C48" s="1"/>
      <c r="D48" s="51" t="s">
        <v>47</v>
      </c>
      <c r="E48" s="49">
        <f>E40+E41+E42</f>
        <v>29280282386</v>
      </c>
      <c r="F48" s="32"/>
      <c r="G48" s="5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1"/>
      <c r="B49" s="52"/>
      <c r="C49" s="53"/>
      <c r="D49" s="53"/>
      <c r="E49" s="53"/>
      <c r="F49" s="53"/>
      <c r="G49" s="5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6"/>
      <c r="C50" s="55"/>
      <c r="D50" s="18"/>
      <c r="E50" s="56"/>
      <c r="F50" s="19"/>
      <c r="G50" s="5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1"/>
      <c r="C51" s="1"/>
      <c r="D51" s="26" t="s">
        <v>48</v>
      </c>
      <c r="E51" s="58"/>
      <c r="F51" s="3"/>
      <c r="G51" s="25"/>
      <c r="H51" s="5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1"/>
      <c r="C52" s="1"/>
      <c r="D52" s="60" t="s">
        <v>49</v>
      </c>
      <c r="E52" s="31">
        <f>+E15</f>
        <v>27643780361</v>
      </c>
      <c r="F52" s="61" t="s">
        <v>50</v>
      </c>
      <c r="G52" s="62"/>
      <c r="H52" s="6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1"/>
      <c r="C53" s="1"/>
      <c r="D53" s="64" t="s">
        <v>51</v>
      </c>
      <c r="E53" s="31">
        <f>+E25</f>
        <v>8386272351</v>
      </c>
      <c r="F53" s="65"/>
      <c r="G53" s="66"/>
      <c r="H53" s="6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1"/>
      <c r="C54" s="1"/>
      <c r="D54" s="67" t="s">
        <v>52</v>
      </c>
      <c r="E54" s="68">
        <f>+E36</f>
        <v>8000000000</v>
      </c>
      <c r="F54" s="65"/>
      <c r="G54" s="66"/>
      <c r="H54" s="6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1"/>
      <c r="C55" s="1"/>
      <c r="D55" s="60" t="s">
        <v>53</v>
      </c>
      <c r="E55" s="31">
        <f>E52-E53-E54</f>
        <v>11257508010</v>
      </c>
      <c r="F55" s="65"/>
      <c r="G55" s="66"/>
      <c r="H55" s="6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1"/>
      <c r="C56" s="1"/>
      <c r="D56" s="67" t="s">
        <v>54</v>
      </c>
      <c r="E56" s="68">
        <f>E40</f>
        <v>6291384716</v>
      </c>
      <c r="F56" s="65"/>
      <c r="G56" s="66"/>
      <c r="H56" s="6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1"/>
      <c r="C57" s="69" t="s">
        <v>55</v>
      </c>
      <c r="D57" s="60" t="s">
        <v>56</v>
      </c>
      <c r="E57" s="49">
        <f>E55-E56</f>
        <v>4966123294</v>
      </c>
      <c r="F57" s="70"/>
      <c r="G57" s="71"/>
      <c r="H57" s="6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1"/>
      <c r="C58" s="1"/>
      <c r="D58" s="67" t="s">
        <v>57</v>
      </c>
      <c r="E58" s="68">
        <f>+E43</f>
        <v>0</v>
      </c>
      <c r="F58" s="72" t="s">
        <v>58</v>
      </c>
      <c r="G58" s="62"/>
      <c r="H58" s="7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1"/>
      <c r="C59" s="69" t="s">
        <v>59</v>
      </c>
      <c r="D59" s="74" t="s">
        <v>60</v>
      </c>
      <c r="E59" s="49">
        <f>E57-E58</f>
        <v>4966123294</v>
      </c>
      <c r="F59" s="70"/>
      <c r="G59" s="71"/>
      <c r="H59" s="7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1"/>
      <c r="C60" s="1"/>
      <c r="D60" s="74"/>
      <c r="E60" s="76"/>
      <c r="F60" s="77"/>
      <c r="G60" s="62"/>
      <c r="H60" s="7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1"/>
      <c r="C61" s="69"/>
      <c r="D61" s="2"/>
      <c r="E61" s="70"/>
      <c r="F61" s="79"/>
      <c r="G61" s="7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1"/>
      <c r="C62" s="69"/>
      <c r="D62" s="26" t="s">
        <v>61</v>
      </c>
      <c r="E62" s="58"/>
      <c r="F62" s="80"/>
      <c r="G62" s="8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1"/>
      <c r="C63" s="1"/>
      <c r="D63" s="82"/>
      <c r="E63" s="49"/>
      <c r="F63" s="3"/>
      <c r="G63" s="2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1"/>
      <c r="C64" s="1"/>
      <c r="D64" s="83" t="s">
        <v>62</v>
      </c>
      <c r="E64" s="84"/>
      <c r="F64" s="84"/>
      <c r="G64" s="2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1"/>
      <c r="C65" s="69" t="s">
        <v>63</v>
      </c>
      <c r="D65" s="51"/>
      <c r="E65" s="34"/>
      <c r="F65" s="85"/>
      <c r="G65" s="8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1"/>
      <c r="C66" s="1"/>
      <c r="D66" s="87" t="s">
        <v>64</v>
      </c>
      <c r="E66" s="88"/>
      <c r="F66" s="85">
        <f>+E36+E57</f>
        <v>12966123294</v>
      </c>
      <c r="G66" s="89">
        <f>F66/F67</f>
        <v>0.5640167476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1"/>
      <c r="C67" s="90"/>
      <c r="D67" s="91" t="s">
        <v>65</v>
      </c>
      <c r="E67" s="24"/>
      <c r="F67" s="85">
        <f>+E41</f>
        <v>22988897670</v>
      </c>
      <c r="G67" s="2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1"/>
      <c r="C68" s="1"/>
      <c r="D68" s="51"/>
      <c r="E68" s="34"/>
      <c r="F68" s="85"/>
      <c r="G68" s="8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1"/>
      <c r="C69" s="1"/>
      <c r="D69" s="51"/>
      <c r="E69" s="51"/>
      <c r="F69" s="85"/>
      <c r="G69" s="9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93"/>
      <c r="C70" s="1"/>
      <c r="D70" s="83" t="s">
        <v>66</v>
      </c>
      <c r="E70" s="84"/>
      <c r="F70" s="85"/>
      <c r="G70" s="9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93"/>
      <c r="C71" s="69" t="s">
        <v>67</v>
      </c>
      <c r="D71" s="84"/>
      <c r="E71" s="84"/>
      <c r="F71" s="32"/>
      <c r="G71" s="9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93"/>
      <c r="C72" s="90"/>
      <c r="D72" s="87" t="s">
        <v>68</v>
      </c>
      <c r="E72" s="88"/>
      <c r="F72" s="85">
        <f>+E36+E59</f>
        <v>12966123294</v>
      </c>
      <c r="G72" s="89">
        <f>F72/F73</f>
        <v>0.5640167476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93"/>
      <c r="C73" s="1"/>
      <c r="D73" s="91" t="s">
        <v>69</v>
      </c>
      <c r="E73" s="24"/>
      <c r="F73" s="85">
        <f>+E41+E45</f>
        <v>22988897670</v>
      </c>
      <c r="G73" s="8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93"/>
      <c r="C74" s="90"/>
      <c r="D74" s="2"/>
      <c r="E74" s="1"/>
      <c r="F74" s="3"/>
      <c r="G74" s="8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5.25" customHeight="1">
      <c r="A75" s="1"/>
      <c r="B75" s="93"/>
      <c r="C75" s="69" t="s">
        <v>70</v>
      </c>
      <c r="D75" s="2"/>
      <c r="E75" s="1"/>
      <c r="F75" s="3"/>
      <c r="G75" s="8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95" t="s">
        <v>71</v>
      </c>
      <c r="C76" s="96"/>
      <c r="D76" s="51" t="s">
        <v>72</v>
      </c>
      <c r="E76" s="1"/>
      <c r="F76" s="3"/>
      <c r="G76" s="94"/>
      <c r="H76" s="97"/>
      <c r="I76" s="9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1" t="s">
        <v>73</v>
      </c>
      <c r="C77" s="96"/>
      <c r="D77" s="87" t="s">
        <v>74</v>
      </c>
      <c r="E77" s="88"/>
      <c r="F77" s="31">
        <f>E36</f>
        <v>8000000000</v>
      </c>
      <c r="G77" s="89">
        <f>F77/F78</f>
        <v>0.243595847</v>
      </c>
      <c r="H77" s="65"/>
      <c r="I77" s="9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1" t="s">
        <v>75</v>
      </c>
      <c r="C78" s="1"/>
      <c r="D78" s="91" t="s">
        <v>76</v>
      </c>
      <c r="E78" s="24"/>
      <c r="F78" s="42">
        <f>+E9</f>
        <v>32841282386</v>
      </c>
      <c r="G78" s="94"/>
      <c r="H78" s="70"/>
      <c r="I78" s="10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52" t="s">
        <v>77</v>
      </c>
      <c r="C79" s="101"/>
      <c r="D79" s="101"/>
      <c r="E79" s="101"/>
      <c r="F79" s="102"/>
      <c r="G79" s="10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idden="1">
      <c r="A80" s="1"/>
      <c r="B80" s="1"/>
      <c r="C80" s="1"/>
      <c r="D80" s="90"/>
      <c r="E80" s="38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idden="1">
      <c r="A81" s="1"/>
      <c r="B81" s="1"/>
      <c r="C81" s="1"/>
      <c r="D81" s="2"/>
      <c r="E81" s="1"/>
      <c r="F81" s="33">
        <f>E54</f>
        <v>8000000000</v>
      </c>
      <c r="G81" s="104" t="str">
        <f>F81/F82</f>
        <v>#DIV/0!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2"/>
      <c r="E83" s="38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2"/>
      <c r="E84" s="106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90"/>
      <c r="E85" s="106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07"/>
      <c r="E86" s="108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07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2"/>
      <c r="E88" s="38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2"/>
      <c r="E89" s="108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2"/>
      <c r="E90" s="1"/>
      <c r="F90" s="10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2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2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2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2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2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2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2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2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2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2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2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2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2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2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2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2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2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2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2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2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2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2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2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2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2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2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2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2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2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2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2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2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2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2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2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2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2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2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2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2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2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2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2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2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2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2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2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2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2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2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2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2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2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2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2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2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2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2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2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2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2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2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2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2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2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2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2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2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2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2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2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2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2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2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2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2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2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2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2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2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2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2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2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2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2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2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2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2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2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2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2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2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2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2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2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2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2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2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2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2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2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2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2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2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2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2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2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2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2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2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2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2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2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2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2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2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2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2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2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2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2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2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2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2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2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2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2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2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2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2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2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2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2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2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2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2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2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2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2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2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2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2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2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2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2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2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2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2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2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2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2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2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2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2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2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2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2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2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2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2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2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2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2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2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2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2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2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2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2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2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2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2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2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2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2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2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2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2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2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2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2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2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2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2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2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2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2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2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2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2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2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2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2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2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2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2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2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2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2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2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2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2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2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2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2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2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2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2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2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2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2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2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2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2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2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2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2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2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2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2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2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2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2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2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2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2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2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2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2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2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2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2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2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2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2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2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2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2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2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2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2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2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2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2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2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2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2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2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2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2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2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2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2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2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2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2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2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2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2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2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2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2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2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2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2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2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2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2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2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2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2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2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2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2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2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2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2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2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2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2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2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2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2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2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2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2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2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2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2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2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2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2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2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2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2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2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2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2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2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2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2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2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2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2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2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2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2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2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2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2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2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2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2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2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2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2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2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2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2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2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2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2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2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2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2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2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2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2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2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2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2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2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2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2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2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2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2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2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2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2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2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2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2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2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2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2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2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2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2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2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2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2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2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2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2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2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2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2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2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2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2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2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2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2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2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2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2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2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2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2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2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2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2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2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2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2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2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2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2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2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2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2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2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2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2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2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2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2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2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2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2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2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2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2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2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2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2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2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2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2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2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2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2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2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2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2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2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2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2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2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2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2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2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2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2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2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2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2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2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2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2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2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2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2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2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2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2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2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2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2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2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2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2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2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2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2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2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2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2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2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2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2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2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2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2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2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2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2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2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2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2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2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2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2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2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2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2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2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2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2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2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2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2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2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2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2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2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2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2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2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2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2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2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2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2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2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2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2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2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2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2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2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2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2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2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2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2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2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2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2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2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2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2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2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2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2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2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2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2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2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2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2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2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2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2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2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2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2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2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2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2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2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2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2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2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2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2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2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2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2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2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2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2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2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2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2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2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2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2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2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2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2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2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2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2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2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2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2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2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2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2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2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2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2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2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2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2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2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2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2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2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2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2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2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2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2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2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2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2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2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2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2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2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2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2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2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2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2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2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2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2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2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2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2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2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2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2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2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2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2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2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2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2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2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2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2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2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2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2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2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2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2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2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2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2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2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2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2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2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2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2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2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2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2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2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2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2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2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2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2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2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2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2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2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2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2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2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2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2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2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2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2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2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2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2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2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2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2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2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2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2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2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2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2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2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2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2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2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2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2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2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2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2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2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2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2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2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2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2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2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2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2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2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2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2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2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2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2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2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2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2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2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2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2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2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2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2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2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2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2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2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2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2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2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2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2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2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2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2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2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2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2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2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2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2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2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2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2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2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2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2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2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2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2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2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2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2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2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2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2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2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2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2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2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2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2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2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2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2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2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2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2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2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2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2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2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2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2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2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2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2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2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2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2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2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2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2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2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2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2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2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2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2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2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2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2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2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2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2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2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2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2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2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2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2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2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2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2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2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2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2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2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2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2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2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2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2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2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2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2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2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2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2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2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2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2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2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2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2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2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2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2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2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2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2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2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2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2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2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2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2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2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2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2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2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2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2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2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2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2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2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2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2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2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2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2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2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2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2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2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2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2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2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2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2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2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2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2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2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2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2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2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2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2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2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2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2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2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2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2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2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2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2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2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2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2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2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2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2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2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2"/>
      <c r="E1001" s="1"/>
      <c r="F1001" s="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2"/>
      <c r="E1002" s="1"/>
      <c r="F1002" s="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5">
    <mergeCell ref="E60:G61"/>
    <mergeCell ref="D66:E66"/>
    <mergeCell ref="D67:E67"/>
    <mergeCell ref="D72:E72"/>
    <mergeCell ref="D73:E73"/>
    <mergeCell ref="H76:I78"/>
    <mergeCell ref="D77:E77"/>
    <mergeCell ref="D78:E78"/>
    <mergeCell ref="B2:C3"/>
    <mergeCell ref="D2:F3"/>
    <mergeCell ref="G2:G3"/>
    <mergeCell ref="D5:F5"/>
    <mergeCell ref="H51:H58"/>
    <mergeCell ref="F52:G57"/>
    <mergeCell ref="F58:G59"/>
  </mergeCells>
  <conditionalFormatting sqref="G66">
    <cfRule type="cellIs" dxfId="0" priority="1" stopIfTrue="1" operator="lessThan">
      <formula>1</formula>
    </cfRule>
  </conditionalFormatting>
  <conditionalFormatting sqref="G66">
    <cfRule type="cellIs" dxfId="1" priority="2" operator="greaterThan">
      <formula>0.7</formula>
    </cfRule>
  </conditionalFormatting>
  <conditionalFormatting sqref="G66">
    <cfRule type="cellIs" dxfId="0" priority="3" operator="lessThan">
      <formula>0.7</formula>
    </cfRule>
  </conditionalFormatting>
  <conditionalFormatting sqref="G72">
    <cfRule type="cellIs" dxfId="1" priority="4" stopIfTrue="1" operator="greaterThan">
      <formula>0.7</formula>
    </cfRule>
  </conditionalFormatting>
  <conditionalFormatting sqref="G72">
    <cfRule type="cellIs" dxfId="0" priority="5" stopIfTrue="1" operator="lessThan">
      <formula>0.967</formula>
    </cfRule>
  </conditionalFormatting>
  <conditionalFormatting sqref="G72">
    <cfRule type="cellIs" dxfId="0" priority="6" operator="lessThan">
      <formula>0.71</formula>
    </cfRule>
  </conditionalFormatting>
  <conditionalFormatting sqref="G72">
    <cfRule type="cellIs" dxfId="0" priority="7" operator="lessThan">
      <formula>0.7</formula>
    </cfRule>
  </conditionalFormatting>
  <conditionalFormatting sqref="G72">
    <cfRule type="cellIs" dxfId="1" priority="8" operator="greaterThan">
      <formula>0.71</formula>
    </cfRule>
  </conditionalFormatting>
  <conditionalFormatting sqref="G72">
    <cfRule type="cellIs" dxfId="1" priority="9" operator="greaterThan">
      <formula>0.7</formula>
    </cfRule>
  </conditionalFormatting>
  <conditionalFormatting sqref="G77">
    <cfRule type="cellIs" dxfId="1" priority="10" stopIfTrue="1" operator="greaterThan">
      <formula>0.6</formula>
    </cfRule>
  </conditionalFormatting>
  <conditionalFormatting sqref="G77">
    <cfRule type="cellIs" dxfId="0" priority="11" stopIfTrue="1" operator="lessThan">
      <formula>0.6</formula>
    </cfRule>
  </conditionalFormatting>
  <conditionalFormatting sqref="G77">
    <cfRule type="cellIs" dxfId="1" priority="12" stopIfTrue="1" operator="greaterThan">
      <formula>0.7</formula>
    </cfRule>
  </conditionalFormatting>
  <conditionalFormatting sqref="G77">
    <cfRule type="cellIs" dxfId="0" priority="13" stopIfTrue="1" operator="lessThan">
      <formula>0.967</formula>
    </cfRule>
  </conditionalFormatting>
  <conditionalFormatting sqref="G77">
    <cfRule type="cellIs" dxfId="0" priority="14" operator="lessThan">
      <formula>0.71</formula>
    </cfRule>
  </conditionalFormatting>
  <conditionalFormatting sqref="G77">
    <cfRule type="cellIs" dxfId="0" priority="15" operator="lessThan">
      <formula>0.7</formula>
    </cfRule>
  </conditionalFormatting>
  <conditionalFormatting sqref="G77">
    <cfRule type="cellIs" dxfId="1" priority="16" operator="greaterThan">
      <formula>0.71</formula>
    </cfRule>
  </conditionalFormatting>
  <conditionalFormatting sqref="G77">
    <cfRule type="cellIs" dxfId="1" priority="17" operator="greaterThan">
      <formula>0.7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2016-11-08T22:14:04Z</dcterms:created>
  <dc:creator>Calidad &amp; Comercial</dc:creator>
</cp:coreProperties>
</file>